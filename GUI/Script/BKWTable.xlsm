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iba\OneDrive - Ho Chi Minh city University of Food Industry\Desktop\Script\"/>
    </mc:Choice>
  </mc:AlternateContent>
  <xr:revisionPtr revIDLastSave="0" documentId="13_ncr:1_{68A4ED62-C950-4DE8-8661-D2C46BB113C9}" xr6:coauthVersionLast="45" xr6:coauthVersionMax="45" xr10:uidLastSave="{00000000-0000-0000-0000-000000000000}"/>
  <bookViews>
    <workbookView xWindow="-120" yWindow="-120" windowWidth="24240" windowHeight="13290" activeTab="2" xr2:uid="{00000000-000D-0000-FFFF-FFFF00000000}"/>
  </bookViews>
  <sheets>
    <sheet name="Rev" sheetId="3" r:id="rId1"/>
    <sheet name="Conf" sheetId="2" r:id="rId2"/>
    <sheet name="Gen" sheetId="1" r:id="rId3"/>
  </sheets>
  <functionGroups builtInGroupCount="19"/>
  <definedNames>
    <definedName name="a">Gen!$G$2:$N$14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2" l="1"/>
  <c r="O25" i="1" l="1"/>
  <c r="O24" i="1"/>
  <c r="K25" i="1" l="1"/>
  <c r="K24" i="1"/>
  <c r="J19" i="1" l="1"/>
</calcChain>
</file>

<file path=xl/sharedStrings.xml><?xml version="1.0" encoding="utf-8"?>
<sst xmlns="http://schemas.openxmlformats.org/spreadsheetml/2006/main" count="57" uniqueCount="47">
  <si>
    <t>Address</t>
  </si>
  <si>
    <t>Num6</t>
  </si>
  <si>
    <t>Name</t>
  </si>
  <si>
    <t>Revision</t>
  </si>
  <si>
    <t>Author</t>
  </si>
  <si>
    <t>Desciption</t>
  </si>
  <si>
    <t>Date</t>
  </si>
  <si>
    <t>1.0</t>
  </si>
  <si>
    <t>Dang Anh Tung</t>
  </si>
  <si>
    <t>Initial version</t>
  </si>
  <si>
    <t>Parameters</t>
  </si>
  <si>
    <t>Configuration</t>
  </si>
  <si>
    <t>PARAMETERS CONFIGURATION</t>
  </si>
  <si>
    <t>BKWGen Tool - Copyright by BKW©</t>
  </si>
  <si>
    <t>TABLE OF IMAGES</t>
  </si>
  <si>
    <t>Width (mm)</t>
  </si>
  <si>
    <t>Height (mm)</t>
  </si>
  <si>
    <t>Base Sector</t>
  </si>
  <si>
    <t>No. Sectors / image</t>
  </si>
  <si>
    <t>Working folder</t>
  </si>
  <si>
    <t>Width(mm)</t>
  </si>
  <si>
    <t>Height(mm)</t>
  </si>
  <si>
    <t>Note</t>
  </si>
  <si>
    <t>Character: 44valves/1char</t>
  </si>
  <si>
    <t>3m --&gt; 6chars</t>
  </si>
  <si>
    <t>Charcter: 14x120</t>
  </si>
  <si>
    <t>c: capital, n:normal; i: italic</t>
  </si>
  <si>
    <t>&gt; left, right, center alignment</t>
  </si>
  <si>
    <t>0: charcter</t>
  </si>
  <si>
    <t>1: image</t>
  </si>
  <si>
    <t>2: transition</t>
  </si>
  <si>
    <t>0_Heart_7.bmp</t>
  </si>
  <si>
    <t>C:\Users\daiba\OneDrive - Ho Chi Minh city University of Food Industry\Desktop\Script\Images</t>
  </si>
  <si>
    <t>d2</t>
  </si>
  <si>
    <t>d1</t>
  </si>
  <si>
    <t>d0</t>
  </si>
  <si>
    <t>p0</t>
  </si>
  <si>
    <t>p1</t>
  </si>
  <si>
    <t>p2</t>
  </si>
  <si>
    <t>p3</t>
  </si>
  <si>
    <t>d3</t>
  </si>
  <si>
    <t>d8</t>
  </si>
  <si>
    <t>d9</t>
  </si>
  <si>
    <t>d10</t>
  </si>
  <si>
    <t>d11</t>
  </si>
  <si>
    <t>p6</t>
  </si>
  <si>
    <t>p5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</si>
</sst>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b/>
      <sz val="18"/>
      <color rgb="FFFF0000"/>
      <name val="Times New Roman"/>
      <family val="1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12"/>
      <color theme="1"/>
      <name val="Times New Roman"/>
      <family val="1"/>
    </font>
    <font>
      <u/>
      <sz val="12"/>
      <color theme="1"/>
      <name val="Times New Roman"/>
      <family val="1"/>
    </font>
    <font>
      <u/>
      <sz val="12"/>
      <color theme="0" tint="-0.499984740745262"/>
      <name val="Times New Roman"/>
      <family val="1"/>
    </font>
    <font>
      <b/>
      <u/>
      <sz val="16"/>
      <color rgb="FFC00000"/>
      <name val="Times New Roman"/>
      <family val="1"/>
    </font>
    <font>
      <u/>
      <sz val="16"/>
      <color rgb="FFC00000"/>
      <name val="Times New Roman"/>
      <family val="1"/>
    </font>
    <font>
      <sz val="12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/>
    <xf numFmtId="0" fontId="4" fillId="0" borderId="0" xfId="0" applyFont="1" applyFill="1" applyBorder="1" applyAlignment="1">
      <alignment vertical="top"/>
    </xf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left"/>
    </xf>
    <xf numFmtId="0" fontId="9" fillId="0" borderId="0" xfId="1" applyFont="1"/>
    <xf numFmtId="0" fontId="7" fillId="0" borderId="4" xfId="0" applyFont="1" applyFill="1" applyBorder="1" applyAlignment="1">
      <alignment horizontal="center"/>
    </xf>
    <xf numFmtId="0" fontId="7" fillId="0" borderId="5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5" fillId="0" borderId="2" xfId="0" quotePrefix="1" applyFont="1" applyBorder="1" applyAlignment="1">
      <alignment horizontal="left"/>
    </xf>
    <xf numFmtId="0" fontId="5" fillId="0" borderId="1" xfId="0" applyFont="1" applyBorder="1" applyAlignment="1">
      <alignment horizontal="left"/>
    </xf>
    <xf numFmtId="15" fontId="5" fillId="0" borderId="1" xfId="0" applyNumberFormat="1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12" fillId="0" borderId="2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2" fillId="0" borderId="3" xfId="0" applyFont="1" applyBorder="1" applyAlignment="1">
      <alignment horizontal="left"/>
    </xf>
    <xf numFmtId="0" fontId="12" fillId="0" borderId="7" xfId="0" applyFont="1" applyBorder="1" applyAlignment="1">
      <alignment horizontal="left"/>
    </xf>
    <xf numFmtId="0" fontId="12" fillId="0" borderId="8" xfId="0" applyFont="1" applyBorder="1" applyAlignment="1">
      <alignment horizontal="left"/>
    </xf>
    <xf numFmtId="0" fontId="12" fillId="0" borderId="9" xfId="0" applyFont="1" applyBorder="1" applyAlignment="1">
      <alignment horizontal="left"/>
    </xf>
    <xf numFmtId="0" fontId="8" fillId="0" borderId="0" xfId="1" applyFont="1" applyAlignment="1">
      <alignment horizontal="left"/>
    </xf>
    <xf numFmtId="0" fontId="2" fillId="0" borderId="0" xfId="0" applyFont="1" applyFill="1" applyBorder="1"/>
    <xf numFmtId="0" fontId="2" fillId="0" borderId="0" xfId="0" applyFont="1" applyFill="1"/>
    <xf numFmtId="0" fontId="2" fillId="2" borderId="0" xfId="0" applyFont="1" applyFill="1" applyBorder="1"/>
    <xf numFmtId="0" fontId="13" fillId="0" borderId="0" xfId="0" applyFont="1" applyFill="1" applyBorder="1"/>
    <xf numFmtId="0" fontId="1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2" borderId="0" xfId="0" applyFont="1" applyFill="1"/>
    <xf numFmtId="0" fontId="14" fillId="0" borderId="0" xfId="0" quotePrefix="1" applyFont="1" applyAlignment="1">
      <alignment horizontal="center"/>
    </xf>
    <xf numFmtId="0" fontId="10" fillId="0" borderId="0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0" fillId="0" borderId="0" xfId="0" applyFont="1" applyBorder="1" applyAlignment="1">
      <alignment horizontal="left"/>
    </xf>
  </cellXfs>
  <cellStyles count="2">
    <cellStyle name="Hyperlink" xfId="1" builtinId="8"/>
    <cellStyle name="Normal" xfId="0" builtinId="0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342900</xdr:colOff>
          <xdr:row>1</xdr:row>
          <xdr:rowOff>104775</xdr:rowOff>
        </xdr:from>
        <xdr:to>
          <xdr:col>20</xdr:col>
          <xdr:colOff>400050</xdr:colOff>
          <xdr:row>7</xdr:row>
          <xdr:rowOff>161925</xdr:rowOff>
        </xdr:to>
        <xdr:sp macro="" textlink="">
          <xdr:nvSpPr>
            <xdr:cNvPr id="1035" name="imgShow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561974</xdr:colOff>
          <xdr:row>2</xdr:row>
          <xdr:rowOff>3810</xdr:rowOff>
        </xdr:from>
        <xdr:to>
          <xdr:col>10</xdr:col>
          <xdr:colOff>24356</xdr:colOff>
          <xdr:row>11</xdr:row>
          <xdr:rowOff>182880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7586662" y="456248"/>
              <a:ext cx="1379288" cy="1893570"/>
              <a:chOff x="4967742" y="213606"/>
              <a:chExt cx="1371216" cy="1977780"/>
            </a:xfrm>
          </xdr:grpSpPr>
          <xdr:sp macro="" textlink="">
            <xdr:nvSpPr>
              <xdr:cNvPr id="1030" name="butGen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200-000006040000}"/>
                  </a:ext>
                </a:extLst>
              </xdr:cNvPr>
              <xdr:cNvSpPr/>
            </xdr:nvSpPr>
            <xdr:spPr bwMode="auto">
              <a:xfrm>
                <a:off x="5008051" y="961736"/>
                <a:ext cx="1330907" cy="4695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1" name="butSend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200-000007040000}"/>
                  </a:ext>
                </a:extLst>
              </xdr:cNvPr>
              <xdr:cNvSpPr/>
            </xdr:nvSpPr>
            <xdr:spPr bwMode="auto">
              <a:xfrm>
                <a:off x="4987855" y="1737729"/>
                <a:ext cx="1325617" cy="4536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6" name="butInit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200-00000C040000}"/>
                  </a:ext>
                </a:extLst>
              </xdr:cNvPr>
              <xdr:cNvSpPr/>
            </xdr:nvSpPr>
            <xdr:spPr bwMode="auto">
              <a:xfrm>
                <a:off x="4967742" y="213606"/>
                <a:ext cx="1313091" cy="4536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</xdr:row>
          <xdr:rowOff>0</xdr:rowOff>
        </xdr:from>
        <xdr:to>
          <xdr:col>14</xdr:col>
          <xdr:colOff>333375</xdr:colOff>
          <xdr:row>3</xdr:row>
          <xdr:rowOff>133350</xdr:rowOff>
        </xdr:to>
        <xdr:sp macro="" textlink="">
          <xdr:nvSpPr>
            <xdr:cNvPr id="1037" name="butImage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6</xdr:row>
          <xdr:rowOff>9525</xdr:rowOff>
        </xdr:from>
        <xdr:to>
          <xdr:col>14</xdr:col>
          <xdr:colOff>342900</xdr:colOff>
          <xdr:row>7</xdr:row>
          <xdr:rowOff>133350</xdr:rowOff>
        </xdr:to>
        <xdr:sp macro="" textlink="">
          <xdr:nvSpPr>
            <xdr:cNvPr id="1038" name="butTes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B4:E16" totalsRowShown="0" headerRowDxfId="18" dataDxfId="16" headerRowBorderDxfId="17" tableBorderDxfId="15" totalsRowBorderDxfId="14">
  <autoFilter ref="B4:E16" xr:uid="{00000000-0009-0000-0100-000003000000}"/>
  <tableColumns count="4">
    <tableColumn id="1" xr3:uid="{00000000-0010-0000-0100-000001000000}" name="Revision" dataDxfId="13"/>
    <tableColumn id="2" xr3:uid="{00000000-0010-0000-0100-000002000000}" name="Author" dataDxfId="12"/>
    <tableColumn id="3" xr3:uid="{00000000-0010-0000-0100-000003000000}" name="Date" dataDxfId="11"/>
    <tableColumn id="4" xr3:uid="{00000000-0010-0000-0100-000004000000}" name="Desciption" dataDxfId="10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E_CONF" displayName="TABLE_CONF" ref="B4:C9" totalsRowShown="0" headerRowDxfId="9" dataDxfId="8">
  <autoFilter ref="B4:C9" xr:uid="{00000000-0009-0000-0100-000004000000}"/>
  <tableColumns count="2">
    <tableColumn id="1" xr3:uid="{00000000-0010-0000-0200-000001000000}" name="Parameters" dataDxfId="7"/>
    <tableColumn id="2" xr3:uid="{00000000-0010-0000-0200-000002000000}" name="Configuration" dataDxfId="6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E_GEN" displayName="TABLE_GEN" ref="B4:E27" totalsRowShown="0" headerRowDxfId="5" dataDxfId="4">
  <autoFilter ref="B4:E27" xr:uid="{00000000-0009-0000-0100-000001000000}"/>
  <tableColumns count="4">
    <tableColumn id="1" xr3:uid="{00000000-0010-0000-0300-000001000000}" name="Address" dataDxfId="3"/>
    <tableColumn id="2" xr3:uid="{00000000-0010-0000-0300-000002000000}" name="Name" dataDxfId="2"/>
    <tableColumn id="3" xr3:uid="{00000000-0010-0000-0300-000003000000}" name="Width(mm)" dataDxfId="1"/>
    <tableColumn id="4" xr3:uid="{00000000-0010-0000-0300-000004000000}" name="Height(mm)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Images\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K16"/>
  <sheetViews>
    <sheetView workbookViewId="0">
      <selection activeCell="B5" sqref="B5"/>
    </sheetView>
  </sheetViews>
  <sheetFormatPr defaultRowHeight="15" x14ac:dyDescent="0.25"/>
  <cols>
    <col min="2" max="2" width="18.7109375" customWidth="1"/>
    <col min="3" max="3" width="33.42578125" customWidth="1"/>
    <col min="4" max="4" width="20.5703125" customWidth="1"/>
    <col min="5" max="5" width="28.85546875" customWidth="1"/>
    <col min="6" max="6" width="9.140625" style="4"/>
  </cols>
  <sheetData>
    <row r="2" spans="1:11" ht="23.25" customHeight="1" x14ac:dyDescent="0.25">
      <c r="A2" s="33" t="s">
        <v>13</v>
      </c>
      <c r="B2" s="33"/>
      <c r="C2" s="33"/>
      <c r="D2" s="33"/>
      <c r="E2" s="33"/>
      <c r="F2" s="33"/>
      <c r="G2" s="33"/>
      <c r="H2" s="5"/>
      <c r="I2" s="5"/>
      <c r="J2" s="5"/>
      <c r="K2" s="5"/>
    </row>
    <row r="4" spans="1:11" ht="15.75" x14ac:dyDescent="0.25">
      <c r="B4" s="10" t="s">
        <v>3</v>
      </c>
      <c r="C4" s="11" t="s">
        <v>4</v>
      </c>
      <c r="D4" s="11" t="s">
        <v>6</v>
      </c>
      <c r="E4" s="12" t="s">
        <v>5</v>
      </c>
      <c r="F4" s="3"/>
    </row>
    <row r="5" spans="1:11" ht="15.75" x14ac:dyDescent="0.25">
      <c r="B5" s="13" t="s">
        <v>7</v>
      </c>
      <c r="C5" s="14" t="s">
        <v>8</v>
      </c>
      <c r="D5" s="15">
        <v>41609</v>
      </c>
      <c r="E5" s="16" t="s">
        <v>9</v>
      </c>
      <c r="F5" s="3"/>
    </row>
    <row r="6" spans="1:11" ht="15.75" x14ac:dyDescent="0.25">
      <c r="B6" s="17"/>
      <c r="C6" s="14"/>
      <c r="D6" s="14"/>
      <c r="E6" s="16"/>
      <c r="F6" s="3"/>
    </row>
    <row r="7" spans="1:11" ht="15.75" x14ac:dyDescent="0.25">
      <c r="B7" s="17"/>
      <c r="C7" s="14"/>
      <c r="D7" s="14"/>
      <c r="E7" s="16"/>
      <c r="F7" s="3"/>
    </row>
    <row r="8" spans="1:11" ht="15.75" x14ac:dyDescent="0.25">
      <c r="B8" s="17"/>
      <c r="C8" s="14"/>
      <c r="D8" s="14"/>
      <c r="E8" s="16"/>
      <c r="F8" s="3"/>
    </row>
    <row r="9" spans="1:11" ht="15.75" x14ac:dyDescent="0.25">
      <c r="B9" s="18"/>
      <c r="C9" s="19"/>
      <c r="D9" s="19"/>
      <c r="E9" s="20"/>
      <c r="F9" s="3"/>
    </row>
    <row r="10" spans="1:11" ht="15.75" x14ac:dyDescent="0.25">
      <c r="B10" s="18"/>
      <c r="C10" s="19"/>
      <c r="D10" s="19"/>
      <c r="E10" s="20"/>
      <c r="F10" s="3"/>
    </row>
    <row r="11" spans="1:11" ht="15.75" x14ac:dyDescent="0.25">
      <c r="B11" s="18"/>
      <c r="C11" s="19"/>
      <c r="D11" s="19"/>
      <c r="E11" s="20"/>
      <c r="F11" s="3"/>
    </row>
    <row r="12" spans="1:11" ht="15.75" x14ac:dyDescent="0.25">
      <c r="B12" s="18"/>
      <c r="C12" s="19"/>
      <c r="D12" s="19"/>
      <c r="E12" s="20"/>
      <c r="F12" s="3"/>
    </row>
    <row r="13" spans="1:11" ht="15.75" x14ac:dyDescent="0.25">
      <c r="B13" s="18"/>
      <c r="C13" s="19"/>
      <c r="D13" s="19"/>
      <c r="E13" s="20"/>
      <c r="F13" s="3"/>
    </row>
    <row r="14" spans="1:11" ht="15.75" x14ac:dyDescent="0.25">
      <c r="B14" s="18"/>
      <c r="C14" s="19"/>
      <c r="D14" s="19"/>
      <c r="E14" s="20"/>
      <c r="F14" s="3"/>
    </row>
    <row r="15" spans="1:11" ht="15.75" x14ac:dyDescent="0.25">
      <c r="B15" s="18"/>
      <c r="C15" s="19"/>
      <c r="D15" s="19"/>
      <c r="E15" s="20"/>
      <c r="F15" s="3"/>
    </row>
    <row r="16" spans="1:11" ht="15.75" x14ac:dyDescent="0.25">
      <c r="B16" s="21"/>
      <c r="C16" s="22"/>
      <c r="D16" s="22"/>
      <c r="E16" s="23"/>
      <c r="F16" s="3"/>
    </row>
  </sheetData>
  <mergeCells count="1">
    <mergeCell ref="A2:G2"/>
  </mergeCell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C18"/>
  <sheetViews>
    <sheetView workbookViewId="0">
      <selection activeCell="C7" sqref="C7"/>
    </sheetView>
  </sheetViews>
  <sheetFormatPr defaultColWidth="9.140625" defaultRowHeight="15.75" x14ac:dyDescent="0.25"/>
  <cols>
    <col min="1" max="1" width="11.140625" style="6" customWidth="1"/>
    <col min="2" max="2" width="18" style="6" customWidth="1"/>
    <col min="3" max="3" width="87.5703125" style="6" bestFit="1" customWidth="1"/>
    <col min="4" max="16384" width="9.140625" style="6"/>
  </cols>
  <sheetData>
    <row r="2" spans="1:3" ht="20.25" x14ac:dyDescent="0.3">
      <c r="A2" s="34" t="s">
        <v>12</v>
      </c>
      <c r="B2" s="35"/>
      <c r="C2" s="35"/>
    </row>
    <row r="4" spans="1:3" x14ac:dyDescent="0.25">
      <c r="B4" s="6" t="s">
        <v>10</v>
      </c>
      <c r="C4" s="6" t="s">
        <v>11</v>
      </c>
    </row>
    <row r="5" spans="1:3" x14ac:dyDescent="0.25">
      <c r="B5" s="8" t="s">
        <v>15</v>
      </c>
      <c r="C5" s="8">
        <f>15*64</f>
        <v>960</v>
      </c>
    </row>
    <row r="6" spans="1:3" x14ac:dyDescent="0.25">
      <c r="B6" s="8" t="s">
        <v>16</v>
      </c>
      <c r="C6" s="8">
        <v>1000</v>
      </c>
    </row>
    <row r="7" spans="1:3" x14ac:dyDescent="0.25">
      <c r="B7" s="8" t="s">
        <v>17</v>
      </c>
      <c r="C7" s="8">
        <v>100</v>
      </c>
    </row>
    <row r="8" spans="1:3" ht="15" customHeight="1" x14ac:dyDescent="0.25">
      <c r="B8" s="8" t="s">
        <v>18</v>
      </c>
      <c r="C8" s="8">
        <v>1</v>
      </c>
    </row>
    <row r="9" spans="1:3" x14ac:dyDescent="0.25">
      <c r="B9" s="8" t="s">
        <v>19</v>
      </c>
      <c r="C9" s="24" t="s">
        <v>32</v>
      </c>
    </row>
    <row r="16" spans="1:3" x14ac:dyDescent="0.25">
      <c r="A16" s="8"/>
      <c r="B16" s="7"/>
    </row>
    <row r="17" spans="1:2" x14ac:dyDescent="0.25">
      <c r="A17" s="8"/>
      <c r="B17" s="7"/>
    </row>
    <row r="18" spans="1:2" x14ac:dyDescent="0.25">
      <c r="B18" s="9"/>
    </row>
  </sheetData>
  <mergeCells count="1">
    <mergeCell ref="A2:C2"/>
  </mergeCells>
  <hyperlinks>
    <hyperlink ref="C9" r:id="rId1" display="E:\Tung\BKWAR\SOFTWARE\BKWTable\Images" xr:uid="{00000000-0004-0000-0200-000000000000}"/>
  </hyperlinks>
  <pageMargins left="0.7" right="0.7" top="0.75" bottom="0.75" header="0.3" footer="0.3"/>
  <pageSetup orientation="portrait" verticalDpi="0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P27"/>
  <sheetViews>
    <sheetView tabSelected="1" zoomScale="80" zoomScaleNormal="80" workbookViewId="0">
      <selection activeCell="D21" sqref="D21"/>
    </sheetView>
  </sheetViews>
  <sheetFormatPr defaultColWidth="9.140625" defaultRowHeight="15" x14ac:dyDescent="0.25"/>
  <cols>
    <col min="1" max="1" width="13.42578125" style="1" bestFit="1" customWidth="1"/>
    <col min="2" max="2" width="17.85546875" style="2" customWidth="1"/>
    <col min="3" max="3" width="19.7109375" style="2" customWidth="1"/>
    <col min="4" max="4" width="14" style="2" bestFit="1" customWidth="1"/>
    <col min="5" max="5" width="13.28515625" style="2" customWidth="1"/>
    <col min="6" max="9" width="9.140625" style="1"/>
    <col min="10" max="10" width="19.5703125" style="1" bestFit="1" customWidth="1"/>
    <col min="11" max="16384" width="9.140625" style="1"/>
  </cols>
  <sheetData>
    <row r="1" spans="1:16" x14ac:dyDescent="0.25">
      <c r="A1" s="31" t="s">
        <v>1</v>
      </c>
      <c r="G1" s="25"/>
      <c r="H1" s="25"/>
      <c r="I1" s="25"/>
      <c r="J1" s="25"/>
      <c r="K1" s="25"/>
      <c r="L1" s="25"/>
      <c r="M1" s="25"/>
      <c r="N1" s="25"/>
      <c r="O1" s="25"/>
      <c r="P1" s="25"/>
    </row>
    <row r="2" spans="1:16" ht="20.25" x14ac:dyDescent="0.3">
      <c r="A2" s="34" t="s">
        <v>14</v>
      </c>
      <c r="B2" s="34"/>
      <c r="C2" s="34"/>
      <c r="D2" s="34"/>
      <c r="E2" s="34"/>
      <c r="F2" s="36"/>
      <c r="G2" s="25"/>
      <c r="H2" s="25"/>
      <c r="I2" s="25"/>
      <c r="J2" s="25"/>
      <c r="K2" s="25"/>
      <c r="L2" s="25"/>
      <c r="M2" s="25"/>
      <c r="N2" s="25"/>
      <c r="O2" s="25"/>
      <c r="P2" s="25"/>
    </row>
    <row r="3" spans="1:16" x14ac:dyDescent="0.25">
      <c r="D3" s="30"/>
      <c r="G3" s="25"/>
      <c r="H3" s="25"/>
      <c r="I3" s="25"/>
      <c r="J3" s="25"/>
      <c r="K3" s="25"/>
      <c r="L3" s="25"/>
      <c r="M3" s="25"/>
      <c r="N3" s="25"/>
      <c r="O3" s="25"/>
      <c r="P3" s="25"/>
    </row>
    <row r="4" spans="1:16" x14ac:dyDescent="0.25">
      <c r="B4" s="2" t="s">
        <v>0</v>
      </c>
      <c r="C4" s="2" t="s">
        <v>2</v>
      </c>
      <c r="D4" s="2" t="s">
        <v>20</v>
      </c>
      <c r="E4" s="29" t="s">
        <v>21</v>
      </c>
      <c r="G4" s="25" t="s">
        <v>22</v>
      </c>
      <c r="H4" s="25"/>
      <c r="I4" s="25"/>
      <c r="J4" s="25"/>
      <c r="K4" s="25"/>
      <c r="L4" s="25"/>
      <c r="M4" s="25"/>
      <c r="N4" s="25"/>
      <c r="O4" s="25"/>
      <c r="P4" s="25"/>
    </row>
    <row r="5" spans="1:16" x14ac:dyDescent="0.25">
      <c r="B5" s="2">
        <v>1</v>
      </c>
      <c r="C5" s="32" t="s">
        <v>35</v>
      </c>
      <c r="D5" s="29">
        <v>960</v>
      </c>
      <c r="E5" s="29">
        <v>1000</v>
      </c>
      <c r="G5" s="25" t="s">
        <v>23</v>
      </c>
      <c r="H5" s="25"/>
      <c r="I5" s="25"/>
      <c r="J5" s="25"/>
      <c r="K5" s="25"/>
      <c r="L5" s="25"/>
      <c r="M5" s="25"/>
      <c r="N5" s="25"/>
      <c r="O5" s="25"/>
      <c r="P5" s="25"/>
    </row>
    <row r="6" spans="1:16" x14ac:dyDescent="0.25">
      <c r="B6" s="2">
        <v>2</v>
      </c>
      <c r="C6" s="32" t="s">
        <v>34</v>
      </c>
      <c r="D6" s="29">
        <v>960</v>
      </c>
      <c r="E6" s="29">
        <v>1000</v>
      </c>
      <c r="G6" s="25" t="s">
        <v>24</v>
      </c>
      <c r="H6" s="25"/>
      <c r="I6" s="25"/>
      <c r="J6" s="25"/>
      <c r="K6" s="25"/>
      <c r="L6" s="25"/>
      <c r="M6" s="25"/>
      <c r="N6" s="25"/>
      <c r="O6" s="25"/>
      <c r="P6" s="25"/>
    </row>
    <row r="7" spans="1:16" x14ac:dyDescent="0.25">
      <c r="B7" s="2">
        <v>3</v>
      </c>
      <c r="C7" s="32" t="s">
        <v>33</v>
      </c>
      <c r="D7" s="29">
        <v>960</v>
      </c>
      <c r="E7" s="29">
        <v>1000</v>
      </c>
      <c r="G7" s="25"/>
      <c r="H7" s="25"/>
      <c r="I7" s="25"/>
      <c r="J7" s="25"/>
      <c r="K7" s="25"/>
      <c r="L7" s="25"/>
      <c r="M7" s="25"/>
      <c r="N7" s="25"/>
      <c r="O7" s="25"/>
      <c r="P7" s="25"/>
    </row>
    <row r="8" spans="1:16" x14ac:dyDescent="0.25">
      <c r="B8" s="2">
        <v>4</v>
      </c>
      <c r="C8" s="29" t="s">
        <v>40</v>
      </c>
      <c r="D8" s="29">
        <v>960</v>
      </c>
      <c r="E8" s="29">
        <v>1000</v>
      </c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1:16" x14ac:dyDescent="0.25">
      <c r="B9" s="2">
        <v>5</v>
      </c>
      <c r="C9" s="29" t="s">
        <v>41</v>
      </c>
      <c r="D9" s="29">
        <v>960</v>
      </c>
      <c r="E9" s="29">
        <v>1000</v>
      </c>
      <c r="G9" s="25" t="s">
        <v>25</v>
      </c>
      <c r="H9" s="25"/>
      <c r="I9" s="25"/>
      <c r="J9" s="25"/>
      <c r="K9" s="25"/>
      <c r="L9" s="25"/>
      <c r="M9" s="25"/>
      <c r="N9" s="25"/>
      <c r="O9" s="25"/>
      <c r="P9" s="25"/>
    </row>
    <row r="10" spans="1:16" x14ac:dyDescent="0.25">
      <c r="B10" s="2">
        <v>6</v>
      </c>
      <c r="C10" s="29" t="s">
        <v>42</v>
      </c>
      <c r="D10" s="29">
        <v>960</v>
      </c>
      <c r="E10" s="29">
        <v>1000</v>
      </c>
      <c r="G10" s="25"/>
      <c r="H10" s="25"/>
      <c r="I10" s="25"/>
      <c r="J10" s="25"/>
      <c r="K10" s="25"/>
      <c r="L10" s="25"/>
      <c r="M10" s="25"/>
      <c r="N10" s="25"/>
      <c r="O10" s="25"/>
      <c r="P10" s="25"/>
    </row>
    <row r="11" spans="1:16" x14ac:dyDescent="0.25">
      <c r="B11" s="2">
        <v>7</v>
      </c>
      <c r="C11" s="29" t="s">
        <v>43</v>
      </c>
      <c r="D11" s="29">
        <v>960</v>
      </c>
      <c r="E11" s="29">
        <v>1000</v>
      </c>
      <c r="G11" s="25"/>
      <c r="H11" s="25"/>
      <c r="I11" s="25"/>
      <c r="J11" s="25"/>
      <c r="K11" s="25"/>
      <c r="L11" s="25"/>
      <c r="M11" s="25" t="s">
        <v>32</v>
      </c>
      <c r="N11" s="25"/>
      <c r="O11" s="25"/>
      <c r="P11" s="25"/>
    </row>
    <row r="12" spans="1:16" x14ac:dyDescent="0.25">
      <c r="B12" s="2">
        <v>8</v>
      </c>
      <c r="C12" s="29" t="s">
        <v>44</v>
      </c>
      <c r="D12" s="29">
        <v>960</v>
      </c>
      <c r="E12" s="29">
        <v>1000</v>
      </c>
      <c r="G12" s="25"/>
      <c r="H12" s="25"/>
      <c r="I12" s="25"/>
      <c r="J12" s="25"/>
      <c r="K12" s="28"/>
      <c r="L12" s="25"/>
      <c r="M12" s="25" t="s">
        <v>31</v>
      </c>
      <c r="N12" s="25"/>
      <c r="O12" s="25"/>
      <c r="P12" s="25"/>
    </row>
    <row r="13" spans="1:16" x14ac:dyDescent="0.25">
      <c r="B13" s="2">
        <v>9</v>
      </c>
      <c r="C13" s="29" t="s">
        <v>45</v>
      </c>
      <c r="D13" s="29">
        <v>960</v>
      </c>
      <c r="E13" s="29">
        <v>1000</v>
      </c>
      <c r="G13" s="25"/>
      <c r="H13" s="25"/>
      <c r="I13" s="25"/>
      <c r="J13" s="25"/>
      <c r="K13" s="28"/>
      <c r="L13" s="25"/>
      <c r="M13" s="25"/>
      <c r="N13" s="25"/>
      <c r="O13" s="25"/>
      <c r="P13" s="25"/>
    </row>
    <row r="14" spans="1:16" x14ac:dyDescent="0.25">
      <c r="B14" s="2">
        <v>10</v>
      </c>
      <c r="C14" s="32" t="s">
        <v>37</v>
      </c>
      <c r="D14" s="29">
        <v>960</v>
      </c>
      <c r="E14" s="29">
        <v>1000</v>
      </c>
      <c r="G14" s="25"/>
      <c r="H14" s="25"/>
      <c r="I14" s="25"/>
      <c r="J14" s="25"/>
      <c r="K14" s="25"/>
      <c r="L14" s="25"/>
      <c r="M14" s="25"/>
      <c r="N14" s="25"/>
      <c r="O14" s="25"/>
      <c r="P14" s="25"/>
    </row>
    <row r="15" spans="1:16" x14ac:dyDescent="0.25">
      <c r="B15" s="2">
        <v>11</v>
      </c>
      <c r="C15" s="29" t="s">
        <v>38</v>
      </c>
      <c r="D15" s="29">
        <v>960</v>
      </c>
      <c r="E15" s="29">
        <v>1000</v>
      </c>
      <c r="G15" s="25" t="s">
        <v>26</v>
      </c>
      <c r="H15" s="25"/>
      <c r="I15" s="25"/>
      <c r="J15" s="25"/>
      <c r="K15" s="25"/>
      <c r="L15" s="25"/>
      <c r="M15" s="25"/>
      <c r="N15" s="25"/>
      <c r="O15" s="25"/>
      <c r="P15" s="25"/>
    </row>
    <row r="16" spans="1:16" x14ac:dyDescent="0.25">
      <c r="B16" s="2">
        <v>12</v>
      </c>
      <c r="C16" s="32" t="s">
        <v>39</v>
      </c>
      <c r="D16" s="29">
        <v>960</v>
      </c>
      <c r="E16" s="29">
        <v>1000</v>
      </c>
      <c r="H16" s="25"/>
      <c r="I16" s="25"/>
      <c r="J16" s="25"/>
      <c r="K16" s="25"/>
      <c r="L16" s="25"/>
      <c r="M16" s="25"/>
      <c r="N16" s="25"/>
      <c r="O16" s="25"/>
      <c r="P16" s="25"/>
    </row>
    <row r="17" spans="2:16" x14ac:dyDescent="0.25">
      <c r="B17" s="2">
        <v>13</v>
      </c>
      <c r="C17" s="29" t="s">
        <v>46</v>
      </c>
      <c r="D17" s="29">
        <v>960</v>
      </c>
      <c r="E17" s="29">
        <v>1000</v>
      </c>
      <c r="H17" s="25"/>
      <c r="I17" s="25"/>
      <c r="J17" s="25"/>
      <c r="K17" s="25"/>
      <c r="L17" s="25"/>
      <c r="M17" s="25" t="s">
        <v>28</v>
      </c>
      <c r="N17" s="25"/>
      <c r="O17" s="25"/>
      <c r="P17" s="25"/>
    </row>
    <row r="18" spans="2:16" x14ac:dyDescent="0.25">
      <c r="B18" s="2">
        <v>14</v>
      </c>
      <c r="C18" s="32" t="s">
        <v>36</v>
      </c>
      <c r="D18" s="29">
        <v>960</v>
      </c>
      <c r="E18" s="29">
        <v>1000</v>
      </c>
      <c r="G18" s="1" t="s">
        <v>27</v>
      </c>
      <c r="H18" s="25"/>
      <c r="I18" s="25"/>
      <c r="J18" s="25"/>
      <c r="K18" s="25"/>
      <c r="L18" s="25"/>
      <c r="M18" s="25" t="s">
        <v>29</v>
      </c>
      <c r="N18" s="25"/>
      <c r="O18" s="25"/>
      <c r="P18" s="25"/>
    </row>
    <row r="19" spans="2:16" x14ac:dyDescent="0.25">
      <c r="B19" s="2">
        <v>15</v>
      </c>
      <c r="C19" s="32" t="s">
        <v>36</v>
      </c>
      <c r="D19" s="29">
        <v>960</v>
      </c>
      <c r="E19" s="29">
        <v>1000</v>
      </c>
      <c r="H19" s="25"/>
      <c r="I19" s="25"/>
      <c r="J19" s="25">
        <f>937+10*38</f>
        <v>1317</v>
      </c>
      <c r="K19" s="25"/>
      <c r="L19" s="25"/>
      <c r="M19" s="25" t="s">
        <v>30</v>
      </c>
      <c r="N19" s="25"/>
      <c r="O19" s="25"/>
      <c r="P19" s="25"/>
    </row>
    <row r="20" spans="2:16" x14ac:dyDescent="0.25">
      <c r="B20" s="2">
        <v>16</v>
      </c>
      <c r="C20" s="32" t="s">
        <v>36</v>
      </c>
      <c r="D20" s="29">
        <v>960</v>
      </c>
      <c r="E20" s="29">
        <v>1000</v>
      </c>
      <c r="I20" s="25"/>
      <c r="J20" s="25"/>
      <c r="K20" s="25"/>
      <c r="L20" s="25"/>
      <c r="M20" s="25"/>
      <c r="N20" s="25"/>
      <c r="O20" s="25"/>
      <c r="P20" s="25"/>
    </row>
    <row r="21" spans="2:16" x14ac:dyDescent="0.25">
      <c r="B21" s="2">
        <v>17</v>
      </c>
      <c r="C21" s="32" t="s">
        <v>36</v>
      </c>
      <c r="D21" s="29">
        <v>960</v>
      </c>
      <c r="E21" s="29">
        <v>1000</v>
      </c>
      <c r="G21" s="25"/>
      <c r="I21" s="27"/>
      <c r="J21" s="25"/>
      <c r="K21" s="25"/>
      <c r="L21" s="25"/>
      <c r="M21" s="25"/>
      <c r="N21" s="25"/>
      <c r="O21" s="25"/>
    </row>
    <row r="22" spans="2:16" x14ac:dyDescent="0.25">
      <c r="B22" s="2">
        <v>18</v>
      </c>
      <c r="C22" s="32" t="s">
        <v>36</v>
      </c>
      <c r="D22" s="29">
        <v>960</v>
      </c>
      <c r="E22" s="29">
        <v>1000</v>
      </c>
      <c r="G22" s="25"/>
      <c r="H22" s="25"/>
      <c r="I22" s="25"/>
      <c r="J22" s="25"/>
      <c r="K22" s="25"/>
      <c r="L22" s="25"/>
      <c r="M22" s="25"/>
      <c r="N22" s="25"/>
      <c r="O22" s="25"/>
    </row>
    <row r="23" spans="2:16" x14ac:dyDescent="0.25">
      <c r="B23" s="2">
        <v>19</v>
      </c>
      <c r="C23" s="32" t="s">
        <v>36</v>
      </c>
      <c r="D23" s="29">
        <v>960</v>
      </c>
      <c r="E23" s="29">
        <v>1000</v>
      </c>
      <c r="G23" s="26"/>
      <c r="H23" s="25"/>
      <c r="I23" s="25"/>
      <c r="J23" s="25"/>
      <c r="K23" s="25"/>
      <c r="L23" s="26"/>
      <c r="M23" s="26"/>
      <c r="N23" s="26"/>
      <c r="O23" s="26"/>
    </row>
    <row r="24" spans="2:16" x14ac:dyDescent="0.25">
      <c r="B24" s="2">
        <v>20</v>
      </c>
      <c r="C24" s="32" t="s">
        <v>36</v>
      </c>
      <c r="D24" s="29">
        <v>960</v>
      </c>
      <c r="E24" s="29">
        <v>1000</v>
      </c>
      <c r="H24" s="25"/>
      <c r="I24" s="25"/>
      <c r="J24" s="25"/>
      <c r="K24" s="25">
        <f>2904/6*4</f>
        <v>1936</v>
      </c>
      <c r="O24" s="1">
        <f>11*88</f>
        <v>968</v>
      </c>
    </row>
    <row r="25" spans="2:16" x14ac:dyDescent="0.25">
      <c r="B25" s="2">
        <v>21</v>
      </c>
      <c r="C25" s="32" t="s">
        <v>36</v>
      </c>
      <c r="D25" s="29">
        <v>960</v>
      </c>
      <c r="E25" s="29">
        <v>1000</v>
      </c>
      <c r="H25" s="26"/>
      <c r="I25" s="26"/>
      <c r="J25" s="26"/>
      <c r="K25" s="26">
        <f>2904/6*1</f>
        <v>484</v>
      </c>
      <c r="O25" s="1">
        <f>11*3*88</f>
        <v>2904</v>
      </c>
    </row>
    <row r="26" spans="2:16" x14ac:dyDescent="0.25">
      <c r="B26" s="2">
        <v>22</v>
      </c>
      <c r="C26" s="32" t="s">
        <v>36</v>
      </c>
      <c r="D26" s="29">
        <v>960</v>
      </c>
      <c r="E26" s="29">
        <v>1000</v>
      </c>
    </row>
    <row r="27" spans="2:16" x14ac:dyDescent="0.25">
      <c r="B27" s="2">
        <v>23</v>
      </c>
      <c r="C27" s="32" t="s">
        <v>36</v>
      </c>
      <c r="D27" s="29">
        <v>960</v>
      </c>
      <c r="E27" s="29">
        <v>1000</v>
      </c>
    </row>
  </sheetData>
  <mergeCells count="1">
    <mergeCell ref="A2:F2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7" r:id="rId4" name="butImage">
          <controlPr defaultSize="0" autoLine="0" r:id="rId5">
            <anchor moveWithCells="1">
              <from>
                <xdr:col>13</xdr:col>
                <xdr:colOff>9525</xdr:colOff>
                <xdr:row>2</xdr:row>
                <xdr:rowOff>0</xdr:rowOff>
              </from>
              <to>
                <xdr:col>14</xdr:col>
                <xdr:colOff>333375</xdr:colOff>
                <xdr:row>3</xdr:row>
                <xdr:rowOff>133350</xdr:rowOff>
              </to>
            </anchor>
          </controlPr>
        </control>
      </mc:Choice>
      <mc:Fallback>
        <control shapeId="1037" r:id="rId4" name="butImage"/>
      </mc:Fallback>
    </mc:AlternateContent>
    <mc:AlternateContent xmlns:mc="http://schemas.openxmlformats.org/markup-compatibility/2006">
      <mc:Choice Requires="x14">
        <control shapeId="1036" r:id="rId6" name="butInit">
          <controlPr defaultSize="0" autoLine="0" r:id="rId7">
            <anchor moveWithCells="1">
              <from>
                <xdr:col>8</xdr:col>
                <xdr:colOff>561975</xdr:colOff>
                <xdr:row>2</xdr:row>
                <xdr:rowOff>0</xdr:rowOff>
              </from>
              <to>
                <xdr:col>9</xdr:col>
                <xdr:colOff>1276350</xdr:colOff>
                <xdr:row>4</xdr:row>
                <xdr:rowOff>57150</xdr:rowOff>
              </to>
            </anchor>
          </controlPr>
        </control>
      </mc:Choice>
      <mc:Fallback>
        <control shapeId="1036" r:id="rId6" name="butInit"/>
      </mc:Fallback>
    </mc:AlternateContent>
    <mc:AlternateContent xmlns:mc="http://schemas.openxmlformats.org/markup-compatibility/2006">
      <mc:Choice Requires="x14">
        <control shapeId="1031" r:id="rId8" name="butSend">
          <controlPr defaultSize="0" autoLine="0" r:id="rId9">
            <anchor moveWithCells="1">
              <from>
                <xdr:col>8</xdr:col>
                <xdr:colOff>581025</xdr:colOff>
                <xdr:row>9</xdr:row>
                <xdr:rowOff>133350</xdr:rowOff>
              </from>
              <to>
                <xdr:col>10</xdr:col>
                <xdr:colOff>0</xdr:colOff>
                <xdr:row>11</xdr:row>
                <xdr:rowOff>180975</xdr:rowOff>
              </to>
            </anchor>
          </controlPr>
        </control>
      </mc:Choice>
      <mc:Fallback>
        <control shapeId="1031" r:id="rId8" name="butSend"/>
      </mc:Fallback>
    </mc:AlternateContent>
    <mc:AlternateContent xmlns:mc="http://schemas.openxmlformats.org/markup-compatibility/2006">
      <mc:Choice Requires="x14">
        <control shapeId="1030" r:id="rId10" name="butGen">
          <controlPr defaultSize="0" autoLine="0" r:id="rId11">
            <anchor moveWithCells="1">
              <from>
                <xdr:col>8</xdr:col>
                <xdr:colOff>600075</xdr:colOff>
                <xdr:row>5</xdr:row>
                <xdr:rowOff>152400</xdr:rowOff>
              </from>
              <to>
                <xdr:col>10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0" r:id="rId10" name="butGen"/>
      </mc:Fallback>
    </mc:AlternateContent>
    <mc:AlternateContent xmlns:mc="http://schemas.openxmlformats.org/markup-compatibility/2006">
      <mc:Choice Requires="x14">
        <control shapeId="1035" r:id="rId12" name="imgShow">
          <controlPr autoLine="0" autoPict="0" r:id="rId13">
            <anchor moveWithCells="1">
              <from>
                <xdr:col>18</xdr:col>
                <xdr:colOff>342900</xdr:colOff>
                <xdr:row>1</xdr:row>
                <xdr:rowOff>104775</xdr:rowOff>
              </from>
              <to>
                <xdr:col>20</xdr:col>
                <xdr:colOff>400050</xdr:colOff>
                <xdr:row>7</xdr:row>
                <xdr:rowOff>161925</xdr:rowOff>
              </to>
            </anchor>
          </controlPr>
        </control>
      </mc:Choice>
      <mc:Fallback>
        <control shapeId="1035" r:id="rId12" name="imgShow"/>
      </mc:Fallback>
    </mc:AlternateContent>
    <mc:AlternateContent xmlns:mc="http://schemas.openxmlformats.org/markup-compatibility/2006">
      <mc:Choice Requires="x14">
        <control shapeId="1038" r:id="rId14" name="butTest">
          <controlPr defaultSize="0" autoLine="0" r:id="rId15">
            <anchor moveWithCells="1">
              <from>
                <xdr:col>13</xdr:col>
                <xdr:colOff>19050</xdr:colOff>
                <xdr:row>6</xdr:row>
                <xdr:rowOff>9525</xdr:rowOff>
              </from>
              <to>
                <xdr:col>14</xdr:col>
                <xdr:colOff>342900</xdr:colOff>
                <xdr:row>7</xdr:row>
                <xdr:rowOff>133350</xdr:rowOff>
              </to>
            </anchor>
          </controlPr>
        </control>
      </mc:Choice>
      <mc:Fallback>
        <control shapeId="1038" r:id="rId14" name="butTest"/>
      </mc:Fallback>
    </mc:AlternateContent>
  </controls>
  <tableParts count="1">
    <tablePart r:id="rId1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Rev</vt:lpstr>
      <vt:lpstr>Conf</vt:lpstr>
      <vt:lpstr>Gen</vt:lpstr>
      <vt:lpstr>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Hoàn Trần</cp:lastModifiedBy>
  <dcterms:created xsi:type="dcterms:W3CDTF">2013-11-28T06:44:44Z</dcterms:created>
  <dcterms:modified xsi:type="dcterms:W3CDTF">2019-12-29T17:32:50Z</dcterms:modified>
</cp:coreProperties>
</file>